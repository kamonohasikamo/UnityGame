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row\Documents\Unity\3daysHack\UnityGame\JumpAction\Assets\Resources\DescriptionMaster\"/>
    </mc:Choice>
  </mc:AlternateContent>
  <xr:revisionPtr revIDLastSave="0" documentId="13_ncr:1_{D24BEC69-812C-4C62-935B-DDD470205A1D}" xr6:coauthVersionLast="45" xr6:coauthVersionMax="45" xr10:uidLastSave="{00000000-0000-0000-0000-000000000000}"/>
  <bookViews>
    <workbookView xWindow="-120" yWindow="-120" windowWidth="29040" windowHeight="15840" xr2:uid="{B4D59526-E331-408B-BBB6-B8626568DB5A}"/>
  </bookViews>
  <sheets>
    <sheet name="DescriptionMaster" sheetId="1" r:id="rId1"/>
    <sheet name="PositionNum" sheetId="3" r:id="rId2"/>
    <sheet name="ImageNum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1" l="1"/>
  <c r="H13" i="1"/>
  <c r="I13" i="1"/>
  <c r="H12" i="1" l="1"/>
  <c r="I12" i="1"/>
  <c r="G12" i="1"/>
  <c r="I3" i="1" l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H2" i="1"/>
  <c r="I2" i="1"/>
  <c r="G2" i="1"/>
</calcChain>
</file>

<file path=xl/sharedStrings.xml><?xml version="1.0" encoding="utf-8"?>
<sst xmlns="http://schemas.openxmlformats.org/spreadsheetml/2006/main" count="85" uniqueCount="70">
  <si>
    <t>isImage</t>
    <phoneticPr fontId="1"/>
  </si>
  <si>
    <t>pageId</t>
    <phoneticPr fontId="1"/>
  </si>
  <si>
    <t>description</t>
    <phoneticPr fontId="1"/>
  </si>
  <si>
    <t>\n時間経過でも\nゲージが減るから\n注意しよう！</t>
    <rPh sb="2" eb="4">
      <t>ジカン</t>
    </rPh>
    <rPh sb="4" eb="6">
      <t>ケイカ</t>
    </rPh>
    <rPh sb="14" eb="15">
      <t>ヘ</t>
    </rPh>
    <rPh sb="20" eb="22">
      <t>チュウイ</t>
    </rPh>
    <phoneticPr fontId="1"/>
  </si>
  <si>
    <t>imageNum</t>
    <phoneticPr fontId="1"/>
  </si>
  <si>
    <t>imageName</t>
    <phoneticPr fontId="1"/>
  </si>
  <si>
    <t>imageNum</t>
    <phoneticPr fontId="1"/>
  </si>
  <si>
    <t>すくみ画像</t>
    <rPh sb="3" eb="5">
      <t>ガゾウ</t>
    </rPh>
    <phoneticPr fontId="1"/>
  </si>
  <si>
    <t>\nタップすると\n浮遊するよ！</t>
    <rPh sb="10" eb="12">
      <t>フユウ</t>
    </rPh>
    <phoneticPr fontId="1"/>
  </si>
  <si>
    <t>\nゲージが無くなる\nもしくは\n画面外に行くと\nゲームオーバーだよ</t>
    <rPh sb="6" eb="7">
      <t>ナ</t>
    </rPh>
    <rPh sb="18" eb="20">
      <t>ガメン</t>
    </rPh>
    <rPh sb="20" eb="21">
      <t>ガイ</t>
    </rPh>
    <rPh sb="22" eb="23">
      <t>イ</t>
    </rPh>
    <phoneticPr fontId="1"/>
  </si>
  <si>
    <t>星画像</t>
    <rPh sb="0" eb="1">
      <t>ホシ</t>
    </rPh>
    <rPh sb="1" eb="3">
      <t>ガゾウ</t>
    </rPh>
    <phoneticPr fontId="1"/>
  </si>
  <si>
    <t>赤→赤</t>
    <rPh sb="0" eb="1">
      <t>アカ</t>
    </rPh>
    <rPh sb="2" eb="3">
      <t>アカ</t>
    </rPh>
    <phoneticPr fontId="1"/>
  </si>
  <si>
    <t>青→青</t>
    <rPh sb="0" eb="1">
      <t>アオ</t>
    </rPh>
    <rPh sb="2" eb="3">
      <t>アオ</t>
    </rPh>
    <phoneticPr fontId="1"/>
  </si>
  <si>
    <t>緑→緑</t>
    <rPh sb="0" eb="1">
      <t>ミドリ</t>
    </rPh>
    <rPh sb="2" eb="3">
      <t>ミドリ</t>
    </rPh>
    <phoneticPr fontId="1"/>
  </si>
  <si>
    <t>赤→緑</t>
    <rPh sb="0" eb="1">
      <t>アカ</t>
    </rPh>
    <rPh sb="2" eb="3">
      <t>ミドリ</t>
    </rPh>
    <phoneticPr fontId="1"/>
  </si>
  <si>
    <t>緑→青</t>
    <rPh sb="0" eb="1">
      <t>ミドリ</t>
    </rPh>
    <rPh sb="2" eb="3">
      <t>アオ</t>
    </rPh>
    <phoneticPr fontId="1"/>
  </si>
  <si>
    <t>青→赤</t>
    <rPh sb="0" eb="1">
      <t>アオ</t>
    </rPh>
    <rPh sb="2" eb="3">
      <t>アカ</t>
    </rPh>
    <phoneticPr fontId="1"/>
  </si>
  <si>
    <t>赤→青</t>
    <rPh sb="0" eb="1">
      <t>アカ</t>
    </rPh>
    <rPh sb="2" eb="3">
      <t>アオ</t>
    </rPh>
    <phoneticPr fontId="1"/>
  </si>
  <si>
    <t>青→緑</t>
    <rPh sb="0" eb="1">
      <t>アオ</t>
    </rPh>
    <rPh sb="2" eb="3">
      <t>ミドリ</t>
    </rPh>
    <phoneticPr fontId="1"/>
  </si>
  <si>
    <t>緑→赤</t>
    <rPh sb="0" eb="1">
      <t>ミドリ</t>
    </rPh>
    <rPh sb="2" eb="3">
      <t>アカ</t>
    </rPh>
    <phoneticPr fontId="1"/>
  </si>
  <si>
    <t>\n\n\n属性の説明</t>
    <rPh sb="6" eb="8">
      <t>ゾクセイ</t>
    </rPh>
    <rPh sb="9" eb="11">
      <t>セツメイ</t>
    </rPh>
    <phoneticPr fontId="1"/>
  </si>
  <si>
    <t>\n\n\n\n\n矢印の通りに\n強くなるよ</t>
    <rPh sb="10" eb="12">
      <t>ヤジルシ</t>
    </rPh>
    <rPh sb="13" eb="14">
      <t>トオ</t>
    </rPh>
    <rPh sb="18" eb="19">
      <t>ツヨ</t>
    </rPh>
    <phoneticPr fontId="1"/>
  </si>
  <si>
    <t>\n\nこのアイテムは\nゲージが回復するよ！\nあまり出ないから\n積極的に取ろう！</t>
    <rPh sb="17" eb="19">
      <t>カイフク</t>
    </rPh>
    <rPh sb="28" eb="29">
      <t>デ</t>
    </rPh>
    <rPh sb="35" eb="38">
      <t>セッキョクテキ</t>
    </rPh>
    <rPh sb="39" eb="40">
      <t>ト</t>
    </rPh>
    <phoneticPr fontId="1"/>
  </si>
  <si>
    <t>imageNum2</t>
    <phoneticPr fontId="1"/>
  </si>
  <si>
    <t>imageNum3</t>
    <phoneticPr fontId="1"/>
  </si>
  <si>
    <t>null</t>
    <phoneticPr fontId="1"/>
  </si>
  <si>
    <t>\n\n\n\n\n自分の色 → 地面の色\nゲージが減らないよ</t>
    <rPh sb="10" eb="12">
      <t>ジブン</t>
    </rPh>
    <rPh sb="13" eb="14">
      <t>イロ</t>
    </rPh>
    <rPh sb="17" eb="19">
      <t>ジメン</t>
    </rPh>
    <rPh sb="20" eb="21">
      <t>イロ</t>
    </rPh>
    <rPh sb="27" eb="28">
      <t>ヘ</t>
    </rPh>
    <phoneticPr fontId="1"/>
  </si>
  <si>
    <t>\n\n\n\n\n自分の色 → 地面の色\nゲージが回復するよ</t>
    <rPh sb="10" eb="12">
      <t>ジブン</t>
    </rPh>
    <rPh sb="13" eb="14">
      <t>イロ</t>
    </rPh>
    <rPh sb="17" eb="19">
      <t>ジメン</t>
    </rPh>
    <rPh sb="20" eb="21">
      <t>イロ</t>
    </rPh>
    <rPh sb="27" eb="29">
      <t>カイフク</t>
    </rPh>
    <phoneticPr fontId="1"/>
  </si>
  <si>
    <t>\n\n\n\n\n自分の色 → 地面の色\nゲージがかなり減るよ</t>
    <rPh sb="10" eb="12">
      <t>ジブン</t>
    </rPh>
    <rPh sb="13" eb="14">
      <t>イロ</t>
    </rPh>
    <rPh sb="17" eb="19">
      <t>ジメン</t>
    </rPh>
    <rPh sb="20" eb="21">
      <t>イロ</t>
    </rPh>
    <rPh sb="30" eb="31">
      <t>ヘ</t>
    </rPh>
    <phoneticPr fontId="1"/>
  </si>
  <si>
    <t>Path</t>
    <phoneticPr fontId="1"/>
  </si>
  <si>
    <t>DescriptionImage/sukumi</t>
    <phoneticPr fontId="1"/>
  </si>
  <si>
    <t>DescriptionImage/star</t>
    <phoneticPr fontId="1"/>
  </si>
  <si>
    <t>DescriptionImage/sameImage_red</t>
    <phoneticPr fontId="1"/>
  </si>
  <si>
    <t>DescriptionImage/sameImage_blue</t>
    <phoneticPr fontId="1"/>
  </si>
  <si>
    <t>DescriptionImage/sameImage_green</t>
    <phoneticPr fontId="1"/>
  </si>
  <si>
    <t>DescriptionImage/playerStrong_red</t>
    <phoneticPr fontId="1"/>
  </si>
  <si>
    <t>DescriptionImage/playerStrong_blue</t>
    <phoneticPr fontId="1"/>
  </si>
  <si>
    <t>DescriptionImage/playerStrong_green</t>
    <phoneticPr fontId="1"/>
  </si>
  <si>
    <t>DescriptionImage/playerWeak_red</t>
    <phoneticPr fontId="1"/>
  </si>
  <si>
    <t>DescriptionImage/playerWeak_blue</t>
    <phoneticPr fontId="1"/>
  </si>
  <si>
    <t>DescriptionImage/playerWeak_green</t>
    <phoneticPr fontId="1"/>
  </si>
  <si>
    <t>imagePath</t>
    <phoneticPr fontId="1"/>
  </si>
  <si>
    <t>imagePath2</t>
    <phoneticPr fontId="1"/>
  </si>
  <si>
    <t>imagePath3</t>
    <phoneticPr fontId="1"/>
  </si>
  <si>
    <t>※マスタの説明
pageId : ページ番号
description : 文言を書く。もし画像なら配置も考慮して書く。
isImage : 画像を置くかおかないか。True or Falseで書く。
imageNum : 何番目の画像を使うかを書く。画像を追加したらimageNumシートに情報を追加する。</t>
    <phoneticPr fontId="1"/>
  </si>
  <si>
    <t>\n\n\nそれぞれの色の\nボタンを押すと\nプレイヤーの色が\n替わるよ</t>
    <rPh sb="11" eb="12">
      <t>イロ</t>
    </rPh>
    <rPh sb="19" eb="20">
      <t>オ</t>
    </rPh>
    <rPh sb="30" eb="31">
      <t>イロ</t>
    </rPh>
    <rPh sb="34" eb="35">
      <t>カ</t>
    </rPh>
    <phoneticPr fontId="1"/>
  </si>
  <si>
    <t>右下のボタン群</t>
    <rPh sb="0" eb="2">
      <t>ミギシタ</t>
    </rPh>
    <rPh sb="6" eb="7">
      <t>グン</t>
    </rPh>
    <phoneticPr fontId="1"/>
  </si>
  <si>
    <t>DescriptionImage/buttonPanel</t>
    <phoneticPr fontId="1"/>
  </si>
  <si>
    <t>\n\n\nボタンの数字が\nアイテムの個数だよ\n</t>
    <rPh sb="10" eb="12">
      <t>スウジ</t>
    </rPh>
    <rPh sb="20" eb="22">
      <t>コスウ</t>
    </rPh>
    <phoneticPr fontId="1"/>
  </si>
  <si>
    <t>\n↑アイテムはこれ！\nアイテムをとって\n右下のボタンを押すと\nキャラの色が変わるよ</t>
    <rPh sb="23" eb="25">
      <t>ミギシタ</t>
    </rPh>
    <rPh sb="30" eb="31">
      <t>オ</t>
    </rPh>
    <rPh sb="39" eb="40">
      <t>イロ</t>
    </rPh>
    <rPh sb="41" eb="42">
      <t>カ</t>
    </rPh>
    <phoneticPr fontId="1"/>
  </si>
  <si>
    <t>アイテム紹介</t>
    <rPh sb="4" eb="6">
      <t>ショウカイ</t>
    </rPh>
    <phoneticPr fontId="1"/>
  </si>
  <si>
    <t>DescriptionImage/items</t>
    <phoneticPr fontId="1"/>
  </si>
  <si>
    <t>positionNum</t>
    <phoneticPr fontId="1"/>
  </si>
  <si>
    <t>PositionNum</t>
    <phoneticPr fontId="1"/>
  </si>
  <si>
    <t>①</t>
    <phoneticPr fontId="1"/>
  </si>
  <si>
    <t>x</t>
    <phoneticPr fontId="1"/>
  </si>
  <si>
    <t>y</t>
    <phoneticPr fontId="1"/>
  </si>
  <si>
    <t>z</t>
    <phoneticPr fontId="1"/>
  </si>
  <si>
    <t>width</t>
    <phoneticPr fontId="1"/>
  </si>
  <si>
    <t>height</t>
    <phoneticPr fontId="1"/>
  </si>
  <si>
    <t>凡例</t>
    <rPh sb="0" eb="2">
      <t>ハンレイ</t>
    </rPh>
    <phoneticPr fontId="1"/>
  </si>
  <si>
    <t>②</t>
    <phoneticPr fontId="1"/>
  </si>
  <si>
    <t>③、④、⑤</t>
    <phoneticPr fontId="1"/>
  </si>
  <si>
    <t>上</t>
    <rPh sb="0" eb="1">
      <t>ジョウ</t>
    </rPh>
    <phoneticPr fontId="1"/>
  </si>
  <si>
    <t>中</t>
    <rPh sb="0" eb="1">
      <t>チュウ</t>
    </rPh>
    <phoneticPr fontId="1"/>
  </si>
  <si>
    <t>下</t>
    <rPh sb="0" eb="1">
      <t>ゲ</t>
    </rPh>
    <phoneticPr fontId="1"/>
  </si>
  <si>
    <t>⑥</t>
    <phoneticPr fontId="1"/>
  </si>
  <si>
    <t>positionNum2</t>
    <phoneticPr fontId="1"/>
  </si>
  <si>
    <t>positionNum3</t>
    <phoneticPr fontId="1"/>
  </si>
  <si>
    <t>:null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</si>
</sst>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27</xdr:row>
          <xdr:rowOff>28575</xdr:rowOff>
        </xdr:from>
        <xdr:to>
          <xdr:col>0</xdr:col>
          <xdr:colOff>1238250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57150</xdr:rowOff>
        </xdr:from>
        <xdr:to>
          <xdr:col>0</xdr:col>
          <xdr:colOff>1219200</xdr:colOff>
          <xdr:row>25</xdr:row>
          <xdr:rowOff>704850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一行追加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3</xdr:row>
      <xdr:rowOff>28575</xdr:rowOff>
    </xdr:from>
    <xdr:to>
      <xdr:col>12</xdr:col>
      <xdr:colOff>419100</xdr:colOff>
      <xdr:row>15</xdr:row>
      <xdr:rowOff>225436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0FD2D21-FBDF-4E56-829A-D26A00395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3325" y="742950"/>
          <a:ext cx="1781175" cy="3054361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15</xdr:col>
      <xdr:colOff>419100</xdr:colOff>
      <xdr:row>15</xdr:row>
      <xdr:rowOff>214139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5682887-B3CC-442C-A40C-6C72DBB33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1200" y="714375"/>
          <a:ext cx="1790700" cy="307163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1</xdr:rowOff>
    </xdr:from>
    <xdr:to>
      <xdr:col>18</xdr:col>
      <xdr:colOff>371475</xdr:colOff>
      <xdr:row>15</xdr:row>
      <xdr:rowOff>150407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33E6931-5FDB-491F-B593-C587B54E0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58600" y="714376"/>
          <a:ext cx="1743075" cy="3007906"/>
        </a:xfrm>
        <a:prstGeom prst="rect">
          <a:avLst/>
        </a:prstGeom>
      </xdr:spPr>
    </xdr:pic>
    <xdr:clientData/>
  </xdr:twoCellAnchor>
  <xdr:twoCellAnchor editAs="oneCell">
    <xdr:from>
      <xdr:col>21</xdr:col>
      <xdr:colOff>66675</xdr:colOff>
      <xdr:row>3</xdr:row>
      <xdr:rowOff>19050</xdr:rowOff>
    </xdr:from>
    <xdr:to>
      <xdr:col>23</xdr:col>
      <xdr:colOff>485775</xdr:colOff>
      <xdr:row>15</xdr:row>
      <xdr:rowOff>131337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901B1ACA-34A6-4F75-B52F-5E1BC95E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154275" y="733425"/>
          <a:ext cx="1790700" cy="29697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850C6-C7ED-4593-9DF7-D4CF859A0CA1}">
  <sheetPr codeName="Sheet1"/>
  <dimension ref="A1:V33"/>
  <sheetViews>
    <sheetView tabSelected="1" topLeftCell="A10" workbookViewId="0">
      <selection activeCell="G3" sqref="G3"/>
    </sheetView>
  </sheetViews>
  <sheetFormatPr defaultRowHeight="18.75" x14ac:dyDescent="0.4"/>
  <cols>
    <col min="1" max="1" width="16.75" style="1" customWidth="1"/>
    <col min="2" max="2" width="59.625" style="2" customWidth="1"/>
    <col min="3" max="3" width="20.25" customWidth="1"/>
    <col min="4" max="4" width="14.75" style="1" customWidth="1"/>
    <col min="5" max="5" width="12.25" style="1" customWidth="1"/>
    <col min="6" max="6" width="13.25" style="1" customWidth="1"/>
    <col min="7" max="7" width="31.625" customWidth="1"/>
    <col min="8" max="8" width="34.75" customWidth="1"/>
    <col min="9" max="9" width="38.125" customWidth="1"/>
    <col min="10" max="10" width="17.875" customWidth="1"/>
    <col min="11" max="11" width="20.25" customWidth="1"/>
    <col min="12" max="12" width="15.875" customWidth="1"/>
    <col min="13" max="13" width="22" customWidth="1"/>
  </cols>
  <sheetData>
    <row r="1" spans="1:22" ht="17.45" customHeight="1" x14ac:dyDescent="0.4">
      <c r="A1" s="5" t="s">
        <v>1</v>
      </c>
      <c r="B1" s="6" t="s">
        <v>2</v>
      </c>
      <c r="C1" s="5" t="s">
        <v>0</v>
      </c>
      <c r="D1" s="7" t="s">
        <v>4</v>
      </c>
      <c r="E1" s="5" t="s">
        <v>23</v>
      </c>
      <c r="F1" s="5" t="s">
        <v>24</v>
      </c>
      <c r="G1" s="5" t="s">
        <v>41</v>
      </c>
      <c r="H1" s="5" t="s">
        <v>42</v>
      </c>
      <c r="I1" s="5" t="s">
        <v>43</v>
      </c>
      <c r="J1" s="5" t="s">
        <v>52</v>
      </c>
      <c r="K1" s="5" t="s">
        <v>67</v>
      </c>
      <c r="L1" s="5" t="s">
        <v>68</v>
      </c>
    </row>
    <row r="2" spans="1:22" ht="54" customHeight="1" x14ac:dyDescent="0.4">
      <c r="A2" s="1">
        <v>1</v>
      </c>
      <c r="B2" s="3" t="s">
        <v>8</v>
      </c>
      <c r="C2" t="b">
        <v>0</v>
      </c>
      <c r="G2" t="str">
        <f>IF($C2=TRUE,VLOOKUP(D2,ImageNum!$A$1:$C$24,3,FALSE),"")</f>
        <v/>
      </c>
      <c r="H2" t="str">
        <f>IF($C2=TRUE,VLOOKUP(E2,ImageNum!$A$1:$C$24,3,FALSE),"")</f>
        <v/>
      </c>
      <c r="I2" t="str">
        <f>IF($C2=TRUE,VLOOKUP(F2,ImageNum!$A$1:$C$24,3,FALSE),"")</f>
        <v/>
      </c>
    </row>
    <row r="3" spans="1:22" ht="37.5" x14ac:dyDescent="0.4">
      <c r="A3" s="1">
        <v>2</v>
      </c>
      <c r="B3" s="3" t="s">
        <v>49</v>
      </c>
      <c r="C3" t="b">
        <v>1</v>
      </c>
      <c r="D3" s="1">
        <v>12</v>
      </c>
      <c r="E3" s="1">
        <v>99999</v>
      </c>
      <c r="F3" s="1">
        <v>99999</v>
      </c>
      <c r="G3" t="str">
        <f>IF($C3=TRUE,VLOOKUP(D3,ImageNum!$A$1:$C$24,3,FALSE),"")</f>
        <v>DescriptionImage/items</v>
      </c>
      <c r="H3">
        <f>IF($C3=TRUE,VLOOKUP(E3,ImageNum!$A$1:$C$24,3,FALSE),"")</f>
        <v>0</v>
      </c>
      <c r="I3">
        <f>IF($C3=TRUE,VLOOKUP(F3,ImageNum!$A$1:$C$24,3,FALSE),"")</f>
        <v>0</v>
      </c>
      <c r="J3">
        <v>1</v>
      </c>
      <c r="K3">
        <v>0</v>
      </c>
      <c r="L3">
        <v>0</v>
      </c>
    </row>
    <row r="4" spans="1:22" ht="37.5" x14ac:dyDescent="0.4">
      <c r="A4" s="1">
        <v>3</v>
      </c>
      <c r="B4" s="3" t="s">
        <v>9</v>
      </c>
      <c r="C4" t="b">
        <v>0</v>
      </c>
      <c r="G4" t="str">
        <f>IF($C4=TRUE,VLOOKUP(D4,ImageNum!$A$1:$C$24,3,FALSE),"")</f>
        <v/>
      </c>
      <c r="H4" t="str">
        <f>IF($C4=TRUE,VLOOKUP(E4,ImageNum!$A$1:$C$24,3,FALSE),"")</f>
        <v/>
      </c>
      <c r="I4" t="str">
        <f>IF($C4=TRUE,VLOOKUP(F4,ImageNum!$A$1:$C$24,3,FALSE),"")</f>
        <v/>
      </c>
    </row>
    <row r="5" spans="1:22" x14ac:dyDescent="0.4">
      <c r="A5" s="1">
        <v>4</v>
      </c>
      <c r="B5" s="4" t="s">
        <v>20</v>
      </c>
      <c r="C5" t="b">
        <v>0</v>
      </c>
      <c r="G5" t="str">
        <f>IF($C5=TRUE,VLOOKUP(D5,ImageNum!$A$1:$C$24,3,FALSE),"")</f>
        <v/>
      </c>
      <c r="H5" t="str">
        <f>IF($C5=TRUE,VLOOKUP(E5,ImageNum!$A$1:$C$24,3,FALSE),"")</f>
        <v/>
      </c>
      <c r="I5" t="str">
        <f>IF($C5=TRUE,VLOOKUP(F5,ImageNum!$A$1:$C$24,3,FALSE),"")</f>
        <v/>
      </c>
    </row>
    <row r="6" spans="1:22" x14ac:dyDescent="0.4">
      <c r="A6" s="1">
        <v>5</v>
      </c>
      <c r="B6" s="2" t="s">
        <v>21</v>
      </c>
      <c r="C6" t="b">
        <v>1</v>
      </c>
      <c r="D6" s="1">
        <v>0</v>
      </c>
      <c r="E6" s="1">
        <v>99999</v>
      </c>
      <c r="F6" s="1">
        <v>99999</v>
      </c>
      <c r="G6" t="str">
        <f>IF($C6=TRUE,VLOOKUP(D6,ImageNum!$A$1:$C$24,3,FALSE),"")</f>
        <v>DescriptionImage/sukumi</v>
      </c>
      <c r="H6">
        <f>IF($C6=TRUE,VLOOKUP(E6,ImageNum!$A$1:$C$24,3,FALSE),"")</f>
        <v>0</v>
      </c>
      <c r="I6">
        <f>IF($C6=TRUE,VLOOKUP(F6,ImageNum!$A$1:$C$24,3,FALSE),"")</f>
        <v>0</v>
      </c>
      <c r="J6">
        <v>2</v>
      </c>
      <c r="K6">
        <v>0</v>
      </c>
      <c r="L6">
        <v>0</v>
      </c>
    </row>
    <row r="7" spans="1:22" x14ac:dyDescent="0.4">
      <c r="A7" s="1">
        <v>6</v>
      </c>
      <c r="B7" s="3" t="s">
        <v>26</v>
      </c>
      <c r="C7" t="b">
        <v>1</v>
      </c>
      <c r="D7" s="1">
        <v>1</v>
      </c>
      <c r="E7" s="1">
        <v>2</v>
      </c>
      <c r="F7" s="1">
        <v>3</v>
      </c>
      <c r="G7" t="str">
        <f>IF($C7=TRUE,VLOOKUP(D7,ImageNum!$A$1:$C$24,3,FALSE),"")</f>
        <v>DescriptionImage/sameImage_red</v>
      </c>
      <c r="H7" t="str">
        <f>IF($C7=TRUE,VLOOKUP(E7,ImageNum!$A$1:$C$24,3,FALSE),"")</f>
        <v>DescriptionImage/sameImage_blue</v>
      </c>
      <c r="I7" t="str">
        <f>IF($C7=TRUE,VLOOKUP(F7,ImageNum!$A$1:$C$24,3,FALSE),"")</f>
        <v>DescriptionImage/sameImage_green</v>
      </c>
      <c r="J7">
        <v>3</v>
      </c>
      <c r="K7">
        <v>4</v>
      </c>
      <c r="L7">
        <v>5</v>
      </c>
    </row>
    <row r="8" spans="1:22" x14ac:dyDescent="0.4">
      <c r="A8" s="1">
        <v>7</v>
      </c>
      <c r="B8" s="3" t="s">
        <v>27</v>
      </c>
      <c r="C8" t="b">
        <v>1</v>
      </c>
      <c r="D8" s="1">
        <v>4</v>
      </c>
      <c r="E8" s="1">
        <v>5</v>
      </c>
      <c r="F8" s="1">
        <v>6</v>
      </c>
      <c r="G8" t="str">
        <f>IF($C8=TRUE,VLOOKUP(D8,ImageNum!$A$1:$C$24,3,FALSE),"")</f>
        <v>DescriptionImage/playerStrong_red</v>
      </c>
      <c r="H8" t="str">
        <f>IF($C8=TRUE,VLOOKUP(E8,ImageNum!$A$1:$C$24,3,FALSE),"")</f>
        <v>DescriptionImage/playerStrong_blue</v>
      </c>
      <c r="I8" t="str">
        <f>IF($C8=TRUE,VLOOKUP(F8,ImageNum!$A$1:$C$24,3,FALSE),"")</f>
        <v>DescriptionImage/playerStrong_green</v>
      </c>
      <c r="J8">
        <v>3</v>
      </c>
      <c r="K8">
        <v>4</v>
      </c>
      <c r="L8">
        <v>5</v>
      </c>
    </row>
    <row r="9" spans="1:22" x14ac:dyDescent="0.4">
      <c r="A9" s="1">
        <v>8</v>
      </c>
      <c r="B9" s="3" t="s">
        <v>28</v>
      </c>
      <c r="C9" t="b">
        <v>1</v>
      </c>
      <c r="D9" s="1">
        <v>7</v>
      </c>
      <c r="E9" s="1">
        <v>8</v>
      </c>
      <c r="F9" s="1">
        <v>9</v>
      </c>
      <c r="G9" t="str">
        <f>IF($C9=TRUE,VLOOKUP(D9,ImageNum!$A$1:$C$24,3,FALSE),"")</f>
        <v>DescriptionImage/playerWeak_red</v>
      </c>
      <c r="H9" t="str">
        <f>IF($C9=TRUE,VLOOKUP(E9,ImageNum!$A$1:$C$24,3,FALSE),"")</f>
        <v>DescriptionImage/playerWeak_blue</v>
      </c>
      <c r="I9" t="str">
        <f>IF($C9=TRUE,VLOOKUP(F9,ImageNum!$A$1:$C$24,3,FALSE),"")</f>
        <v>DescriptionImage/playerWeak_green</v>
      </c>
      <c r="J9">
        <v>3</v>
      </c>
      <c r="K9">
        <v>4</v>
      </c>
      <c r="L9">
        <v>5</v>
      </c>
    </row>
    <row r="10" spans="1:22" x14ac:dyDescent="0.4">
      <c r="A10" s="1">
        <v>9</v>
      </c>
      <c r="B10" s="3" t="s">
        <v>3</v>
      </c>
      <c r="C10" t="b">
        <v>0</v>
      </c>
      <c r="G10" t="str">
        <f>IF($C10=TRUE,VLOOKUP(D10,ImageNum!$A$1:$C$24,3,FALSE),"")</f>
        <v/>
      </c>
      <c r="H10" t="str">
        <f>IF($C10=TRUE,VLOOKUP(E10,ImageNum!$A$1:$C$24,3,FALSE),"")</f>
        <v/>
      </c>
      <c r="I10" t="str">
        <f>IF($C10=TRUE,VLOOKUP(F10,ImageNum!$A$1:$C$24,3,FALSE),"")</f>
        <v/>
      </c>
    </row>
    <row r="11" spans="1:22" ht="36" customHeight="1" x14ac:dyDescent="0.4">
      <c r="A11" s="1">
        <v>10</v>
      </c>
      <c r="B11" s="3" t="s">
        <v>22</v>
      </c>
      <c r="C11" t="b">
        <v>1</v>
      </c>
      <c r="D11" s="1">
        <v>10</v>
      </c>
      <c r="E11" s="1">
        <v>99999</v>
      </c>
      <c r="F11" s="1">
        <v>99999</v>
      </c>
      <c r="G11" t="str">
        <f>IF($C11=TRUE,VLOOKUP(D11,ImageNum!$A$1:$C$24,3,FALSE),"")</f>
        <v>DescriptionImage/star</v>
      </c>
      <c r="H11">
        <f>IF($C11=TRUE,VLOOKUP(E11,ImageNum!$A$1:$C$24,3,FALSE),"")</f>
        <v>0</v>
      </c>
      <c r="I11">
        <f>IF($C11=TRUE,VLOOKUP(F11,ImageNum!$A$1:$C$24,3,FALSE),"")</f>
        <v>0</v>
      </c>
      <c r="J11">
        <v>6</v>
      </c>
      <c r="K11">
        <v>0</v>
      </c>
      <c r="L11">
        <v>0</v>
      </c>
      <c r="M11" s="8"/>
      <c r="N11" s="8"/>
      <c r="O11" s="8"/>
      <c r="P11" s="8"/>
    </row>
    <row r="12" spans="1:22" ht="18" customHeight="1" x14ac:dyDescent="0.4">
      <c r="A12" s="1">
        <v>11</v>
      </c>
      <c r="B12" s="2" t="s">
        <v>45</v>
      </c>
      <c r="C12" t="b">
        <v>1</v>
      </c>
      <c r="D12" s="1">
        <v>11</v>
      </c>
      <c r="E12" s="1">
        <v>99999</v>
      </c>
      <c r="F12" s="1">
        <v>99999</v>
      </c>
      <c r="G12" t="str">
        <f>IF($C12=TRUE,VLOOKUP(D12,ImageNum!$A$1:$C$24,3,FALSE),"")</f>
        <v>DescriptionImage/buttonPanel</v>
      </c>
      <c r="H12">
        <f>IF($C12=TRUE,VLOOKUP(E12,ImageNum!$A$1:$C$24,3,FALSE),"")</f>
        <v>0</v>
      </c>
      <c r="I12">
        <f>IF($C12=TRUE,VLOOKUP(F12,ImageNum!$A$1:$C$24,3,FALSE),"")</f>
        <v>0</v>
      </c>
      <c r="J12">
        <v>1</v>
      </c>
      <c r="K12">
        <v>0</v>
      </c>
      <c r="L12">
        <v>0</v>
      </c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x14ac:dyDescent="0.4">
      <c r="A13" s="1">
        <v>12</v>
      </c>
      <c r="B13" s="2" t="s">
        <v>48</v>
      </c>
      <c r="C13" t="b">
        <v>1</v>
      </c>
      <c r="D13" s="1">
        <v>11</v>
      </c>
      <c r="E13" s="1">
        <v>99999</v>
      </c>
      <c r="F13" s="1">
        <v>99999</v>
      </c>
      <c r="G13" t="str">
        <f>IF($C13=TRUE,VLOOKUP(D13,ImageNum!$A$1:$C$24,3,FALSE),"")</f>
        <v>DescriptionImage/buttonPanel</v>
      </c>
      <c r="H13">
        <f>IF($C13=TRUE,VLOOKUP(E13,ImageNum!$A$1:$C$24,3,FALSE),"")</f>
        <v>0</v>
      </c>
      <c r="I13">
        <f>IF($C13=TRUE,VLOOKUP(F13,ImageNum!$A$1:$C$24,3,FALSE),"")</f>
        <v>0</v>
      </c>
      <c r="J13">
        <v>1</v>
      </c>
      <c r="K13">
        <v>0</v>
      </c>
      <c r="L13">
        <v>0</v>
      </c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x14ac:dyDescent="0.4"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x14ac:dyDescent="0.4">
      <c r="H15" s="8"/>
      <c r="I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x14ac:dyDescent="0.4">
      <c r="H16" s="8"/>
      <c r="I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2:22" x14ac:dyDescent="0.4">
      <c r="H17" s="8"/>
      <c r="I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2:22" x14ac:dyDescent="0.4">
      <c r="H18" s="8"/>
      <c r="I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2:22" x14ac:dyDescent="0.4">
      <c r="H19" s="8"/>
      <c r="I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2:22" x14ac:dyDescent="0.4">
      <c r="H20" s="8"/>
      <c r="I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2:22" x14ac:dyDescent="0.4">
      <c r="H21" s="8"/>
      <c r="I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2:22" x14ac:dyDescent="0.4">
      <c r="H22" s="8"/>
      <c r="I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2:22" x14ac:dyDescent="0.4"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2:22" x14ac:dyDescent="0.4"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2:22" x14ac:dyDescent="0.4"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2:22" ht="58.9" customHeight="1" x14ac:dyDescent="0.4">
      <c r="B26" s="10" t="s">
        <v>44</v>
      </c>
      <c r="C26" s="10"/>
      <c r="D26" s="10"/>
      <c r="E26" s="9"/>
      <c r="F26" s="9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2:22" x14ac:dyDescent="0.4">
      <c r="B27" s="10"/>
      <c r="C27" s="10"/>
      <c r="D27" s="10"/>
      <c r="E27" s="9"/>
      <c r="F27" s="9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2:22" x14ac:dyDescent="0.4">
      <c r="B28" s="10"/>
      <c r="C28" s="10"/>
      <c r="D28" s="10"/>
      <c r="E28" s="9"/>
      <c r="F28" s="9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2:22" x14ac:dyDescent="0.4">
      <c r="B29" s="10"/>
      <c r="C29" s="10"/>
      <c r="D29" s="10"/>
      <c r="E29" s="9"/>
      <c r="F29" s="9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2:22" x14ac:dyDescent="0.4">
      <c r="B30" s="8"/>
      <c r="C30" s="8"/>
      <c r="D30" s="8"/>
      <c r="E30" s="9"/>
      <c r="F30" s="9"/>
    </row>
    <row r="31" spans="2:22" x14ac:dyDescent="0.4">
      <c r="B31" s="8"/>
      <c r="C31" s="8"/>
      <c r="D31" s="8"/>
      <c r="E31" s="9"/>
      <c r="F31" s="9"/>
    </row>
    <row r="32" spans="2:22" x14ac:dyDescent="0.4">
      <c r="B32" s="8"/>
      <c r="C32" s="8"/>
      <c r="D32" s="8"/>
      <c r="E32" s="9"/>
      <c r="F32" s="9"/>
    </row>
    <row r="33" spans="2:6" x14ac:dyDescent="0.4">
      <c r="B33" s="9"/>
      <c r="C33" s="9"/>
      <c r="D33" s="9"/>
      <c r="E33" s="9"/>
      <c r="F33" s="9"/>
    </row>
  </sheetData>
  <mergeCells count="1">
    <mergeCell ref="B26:D29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JSON">
                <anchor moveWithCells="1">
                  <from>
                    <xdr:col>0</xdr:col>
                    <xdr:colOff>19050</xdr:colOff>
                    <xdr:row>27</xdr:row>
                    <xdr:rowOff>28575</xdr:rowOff>
                  </from>
                  <to>
                    <xdr:col>0</xdr:col>
                    <xdr:colOff>1238250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utRow">
                <anchor moveWithCells="1">
                  <from>
                    <xdr:col>0</xdr:col>
                    <xdr:colOff>47625</xdr:colOff>
                    <xdr:row>25</xdr:row>
                    <xdr:rowOff>57150</xdr:rowOff>
                  </from>
                  <to>
                    <xdr:col>0</xdr:col>
                    <xdr:colOff>1219200</xdr:colOff>
                    <xdr:row>25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7003C-B5EF-431D-99DC-EABF36B0E05E}">
          <x14:formula1>
            <xm:f>PositionNum!$C$3:$C$9</xm:f>
          </x14:formula1>
          <xm:sqref>J2:L22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DE244-4066-4FFE-8EF4-E4091D44AE8E}">
  <dimension ref="C2:W22"/>
  <sheetViews>
    <sheetView workbookViewId="0">
      <selection activeCell="D4" sqref="D4"/>
    </sheetView>
  </sheetViews>
  <sheetFormatPr defaultRowHeight="18.75" x14ac:dyDescent="0.4"/>
  <cols>
    <col min="3" max="3" width="18" style="1" customWidth="1"/>
  </cols>
  <sheetData>
    <row r="2" spans="3:22" x14ac:dyDescent="0.4">
      <c r="C2" s="1" t="s">
        <v>53</v>
      </c>
      <c r="K2" t="s">
        <v>60</v>
      </c>
    </row>
    <row r="3" spans="3:22" x14ac:dyDescent="0.4">
      <c r="C3" s="1">
        <v>0</v>
      </c>
      <c r="D3" t="s">
        <v>69</v>
      </c>
      <c r="K3" t="s">
        <v>54</v>
      </c>
      <c r="N3" t="s">
        <v>61</v>
      </c>
      <c r="Q3" t="s">
        <v>62</v>
      </c>
      <c r="V3" t="s">
        <v>66</v>
      </c>
    </row>
    <row r="4" spans="3:22" x14ac:dyDescent="0.4">
      <c r="C4" s="1">
        <v>1</v>
      </c>
    </row>
    <row r="5" spans="3:22" x14ac:dyDescent="0.4">
      <c r="C5" s="1">
        <v>2</v>
      </c>
    </row>
    <row r="6" spans="3:22" x14ac:dyDescent="0.4">
      <c r="C6" s="1">
        <v>3</v>
      </c>
    </row>
    <row r="7" spans="3:22" x14ac:dyDescent="0.4">
      <c r="C7" s="1">
        <v>4</v>
      </c>
    </row>
    <row r="8" spans="3:22" x14ac:dyDescent="0.4">
      <c r="C8" s="1">
        <v>5</v>
      </c>
    </row>
    <row r="9" spans="3:22" x14ac:dyDescent="0.4">
      <c r="C9" s="1">
        <v>6</v>
      </c>
    </row>
    <row r="17" spans="11:23" x14ac:dyDescent="0.4">
      <c r="R17" t="s">
        <v>63</v>
      </c>
      <c r="S17" t="s">
        <v>64</v>
      </c>
      <c r="T17" t="s">
        <v>65</v>
      </c>
    </row>
    <row r="18" spans="11:23" x14ac:dyDescent="0.4">
      <c r="K18" t="s">
        <v>55</v>
      </c>
      <c r="L18">
        <v>0</v>
      </c>
      <c r="N18" t="s">
        <v>55</v>
      </c>
      <c r="O18">
        <v>0</v>
      </c>
      <c r="Q18" t="s">
        <v>55</v>
      </c>
      <c r="R18">
        <v>0</v>
      </c>
      <c r="S18">
        <v>0</v>
      </c>
      <c r="T18">
        <v>0</v>
      </c>
      <c r="V18" t="s">
        <v>55</v>
      </c>
      <c r="W18">
        <v>0</v>
      </c>
    </row>
    <row r="19" spans="11:23" x14ac:dyDescent="0.4">
      <c r="K19" t="s">
        <v>56</v>
      </c>
      <c r="L19">
        <v>430</v>
      </c>
      <c r="N19" t="s">
        <v>56</v>
      </c>
      <c r="O19">
        <v>250</v>
      </c>
      <c r="Q19" t="s">
        <v>56</v>
      </c>
      <c r="R19">
        <v>430</v>
      </c>
      <c r="S19">
        <v>270</v>
      </c>
      <c r="T19">
        <v>110</v>
      </c>
      <c r="V19" t="s">
        <v>56</v>
      </c>
      <c r="W19">
        <v>400</v>
      </c>
    </row>
    <row r="20" spans="11:23" x14ac:dyDescent="0.4">
      <c r="K20" t="s">
        <v>57</v>
      </c>
      <c r="L20">
        <v>0</v>
      </c>
      <c r="N20" t="s">
        <v>57</v>
      </c>
      <c r="O20">
        <v>0</v>
      </c>
      <c r="Q20" t="s">
        <v>57</v>
      </c>
      <c r="R20">
        <v>0</v>
      </c>
      <c r="S20">
        <v>0</v>
      </c>
      <c r="T20">
        <v>0</v>
      </c>
      <c r="V20" t="s">
        <v>57</v>
      </c>
      <c r="W20">
        <v>0</v>
      </c>
    </row>
    <row r="21" spans="11:23" x14ac:dyDescent="0.4">
      <c r="K21" t="s">
        <v>58</v>
      </c>
      <c r="L21">
        <v>550</v>
      </c>
      <c r="N21" t="s">
        <v>58</v>
      </c>
      <c r="O21">
        <v>400</v>
      </c>
      <c r="Q21" t="s">
        <v>58</v>
      </c>
      <c r="R21">
        <v>550</v>
      </c>
      <c r="V21" t="s">
        <v>58</v>
      </c>
      <c r="W21">
        <v>100</v>
      </c>
    </row>
    <row r="22" spans="11:23" x14ac:dyDescent="0.4">
      <c r="K22" t="s">
        <v>59</v>
      </c>
      <c r="L22">
        <v>200</v>
      </c>
      <c r="N22" t="s">
        <v>59</v>
      </c>
      <c r="O22">
        <v>400</v>
      </c>
      <c r="Q22" t="s">
        <v>59</v>
      </c>
      <c r="R22">
        <v>150</v>
      </c>
      <c r="V22" t="s">
        <v>59</v>
      </c>
      <c r="W22">
        <v>100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31FB-A2E1-4FFB-BB1A-BC0CE53A21BC}">
  <sheetPr codeName="Sheet2"/>
  <dimension ref="A1:C15"/>
  <sheetViews>
    <sheetView workbookViewId="0">
      <selection activeCell="C16" sqref="C16"/>
    </sheetView>
  </sheetViews>
  <sheetFormatPr defaultRowHeight="18.75" x14ac:dyDescent="0.4"/>
  <cols>
    <col min="1" max="2" width="17.75" style="1" customWidth="1"/>
    <col min="3" max="3" width="39.75" style="1" customWidth="1"/>
  </cols>
  <sheetData>
    <row r="1" spans="1:3" x14ac:dyDescent="0.4">
      <c r="A1" s="5" t="s">
        <v>6</v>
      </c>
      <c r="B1" s="5" t="s">
        <v>5</v>
      </c>
      <c r="C1" s="5" t="s">
        <v>29</v>
      </c>
    </row>
    <row r="2" spans="1:3" x14ac:dyDescent="0.4">
      <c r="A2" s="1">
        <v>99999</v>
      </c>
      <c r="B2" s="1" t="s">
        <v>25</v>
      </c>
    </row>
    <row r="3" spans="1:3" x14ac:dyDescent="0.4">
      <c r="A3" s="1">
        <v>0</v>
      </c>
      <c r="B3" s="1" t="s">
        <v>7</v>
      </c>
      <c r="C3" s="1" t="s">
        <v>30</v>
      </c>
    </row>
    <row r="4" spans="1:3" x14ac:dyDescent="0.4">
      <c r="A4" s="1">
        <v>1</v>
      </c>
      <c r="B4" s="1" t="s">
        <v>11</v>
      </c>
      <c r="C4" s="1" t="s">
        <v>32</v>
      </c>
    </row>
    <row r="5" spans="1:3" x14ac:dyDescent="0.4">
      <c r="A5" s="1">
        <v>2</v>
      </c>
      <c r="B5" s="1" t="s">
        <v>12</v>
      </c>
      <c r="C5" s="1" t="s">
        <v>33</v>
      </c>
    </row>
    <row r="6" spans="1:3" x14ac:dyDescent="0.4">
      <c r="A6" s="1">
        <v>3</v>
      </c>
      <c r="B6" s="1" t="s">
        <v>13</v>
      </c>
      <c r="C6" s="1" t="s">
        <v>34</v>
      </c>
    </row>
    <row r="7" spans="1:3" x14ac:dyDescent="0.4">
      <c r="A7" s="1">
        <v>4</v>
      </c>
      <c r="B7" s="1" t="s">
        <v>14</v>
      </c>
      <c r="C7" s="1" t="s">
        <v>35</v>
      </c>
    </row>
    <row r="8" spans="1:3" x14ac:dyDescent="0.4">
      <c r="A8" s="1">
        <v>5</v>
      </c>
      <c r="B8" s="1" t="s">
        <v>15</v>
      </c>
      <c r="C8" s="1" t="s">
        <v>36</v>
      </c>
    </row>
    <row r="9" spans="1:3" x14ac:dyDescent="0.4">
      <c r="A9" s="1">
        <v>6</v>
      </c>
      <c r="B9" s="1" t="s">
        <v>16</v>
      </c>
      <c r="C9" s="1" t="s">
        <v>37</v>
      </c>
    </row>
    <row r="10" spans="1:3" x14ac:dyDescent="0.4">
      <c r="A10" s="1">
        <v>7</v>
      </c>
      <c r="B10" s="1" t="s">
        <v>17</v>
      </c>
      <c r="C10" s="1" t="s">
        <v>38</v>
      </c>
    </row>
    <row r="11" spans="1:3" x14ac:dyDescent="0.4">
      <c r="A11" s="1">
        <v>8</v>
      </c>
      <c r="B11" s="1" t="s">
        <v>18</v>
      </c>
      <c r="C11" s="1" t="s">
        <v>39</v>
      </c>
    </row>
    <row r="12" spans="1:3" x14ac:dyDescent="0.4">
      <c r="A12" s="1">
        <v>9</v>
      </c>
      <c r="B12" s="1" t="s">
        <v>19</v>
      </c>
      <c r="C12" s="1" t="s">
        <v>40</v>
      </c>
    </row>
    <row r="13" spans="1:3" x14ac:dyDescent="0.4">
      <c r="A13" s="1">
        <v>10</v>
      </c>
      <c r="B13" s="1" t="s">
        <v>10</v>
      </c>
      <c r="C13" s="1" t="s">
        <v>31</v>
      </c>
    </row>
    <row r="14" spans="1:3" x14ac:dyDescent="0.4">
      <c r="A14" s="1">
        <v>11</v>
      </c>
      <c r="B14" s="1" t="s">
        <v>46</v>
      </c>
      <c r="C14" s="1" t="s">
        <v>47</v>
      </c>
    </row>
    <row r="15" spans="1:3" x14ac:dyDescent="0.4">
      <c r="A15" s="1">
        <v>12</v>
      </c>
      <c r="B15" s="1" t="s">
        <v>50</v>
      </c>
      <c r="C15" s="1" t="s">
        <v>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DescriptionMaster</vt:lpstr>
      <vt:lpstr>PositionNum</vt:lpstr>
      <vt:lpstr>ImageNum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cs16048</dc:creator>
  <cp:lastModifiedBy>210031 gs</cp:lastModifiedBy>
  <dcterms:created xsi:type="dcterms:W3CDTF">2019-12-31T05:38:40Z</dcterms:created>
  <dcterms:modified xsi:type="dcterms:W3CDTF">2020-08-11T16:00:52Z</dcterms:modified>
</cp:coreProperties>
</file>